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Capacity Check" sheetId="2" state="visible" r:id="rId4"/>
    <sheet name="Scope Cuts (Deferred)" sheetId="3" state="visible" r:id="rId5"/>
  </sheets>
  <definedNames>
    <definedName function="false" hidden="true" localSheetId="0" name="_xlnm._FilterDatabase" vbProcedure="false">Backlog!$A$1:$L$45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<sst xmlns="http://schemas.openxmlformats.org/spreadsheetml/2006/main" count="551" uniqueCount="266">
  <si>
    <t xml:space="preserve">Ticket ID</t>
  </si>
  <si>
    <t xml:space="preserve">Epic</t>
  </si>
  <si>
    <t xml:space="preserve">Day</t>
  </si>
  <si>
    <t xml:space="preserve">Title</t>
  </si>
  <si>
    <t xml:space="preserve">Description</t>
  </si>
  <si>
    <t xml:space="preserve">Acceptance Criteria</t>
  </si>
  <si>
    <t xml:space="preserve">Primary Assignee</t>
  </si>
  <si>
    <t xml:space="preserve">Support / Pairing</t>
  </si>
  <si>
    <t xml:space="preserve">Est Hours</t>
  </si>
  <si>
    <t xml:space="preserve">Priority</t>
  </si>
  <si>
    <t xml:space="preserve">Dependencies</t>
  </si>
  <si>
    <t xml:space="preserve">Status</t>
  </si>
  <si>
    <t xml:space="preserve">INF-01</t>
  </si>
  <si>
    <t xml:space="preserve">Foundation</t>
  </si>
  <si>
    <t xml:space="preserve">D1</t>
  </si>
  <si>
    <t xml:space="preserve">Repo, CI/CD &amp; environments</t>
  </si>
  <si>
    <t xml:space="preserve">Set up monorepo, lint/test CI pipeline, staging + production environments on a stack the team already knows.</t>
  </si>
  <si>
    <t xml:space="preserve">Push to main auto-deploys to staging; staging URL reachable by whole team.</t>
  </si>
  <si>
    <t xml:space="preserve">Tino Britty</t>
  </si>
  <si>
    <t xml:space="preserve">-</t>
  </si>
  <si>
    <t xml:space="preserve">Must</t>
  </si>
  <si>
    <t xml:space="preserve">Not started</t>
  </si>
  <si>
    <t xml:space="preserve">INF-02</t>
  </si>
  <si>
    <t xml:space="preserve">Core DB schema &amp; migrations</t>
  </si>
  <si>
    <t xml:space="preserve">Create tables for users, institutions, companies, batches, skills, skill claims, verification attempts, projects, project reports, jobs, applications, ATS stages, cognitive/comm profiles, audit logs, plans, feature flags.</t>
  </si>
  <si>
    <t xml:space="preserve">Migrations run cleanly on staging; schema matches PRD Section 11 entity list.</t>
  </si>
  <si>
    <t xml:space="preserve">Vishal V</t>
  </si>
  <si>
    <t xml:space="preserve">INF-03</t>
  </si>
  <si>
    <t xml:space="preserve">Auth skeleton (email/password, role guards) - SSO stubbed</t>
  </si>
  <si>
    <t xml:space="preserve">Basic session auth for all 4 roles with route guards per role. Real Entra ID / Google SSO explicitly deferred past this sprint.</t>
  </si>
  <si>
    <t xml:space="preserve">Login/logout works per role; protected routes redirect unauthenticated users; role mismatch blocked.</t>
  </si>
  <si>
    <t xml:space="preserve">INF-04</t>
  </si>
  <si>
    <t xml:space="preserve">Shared UI component kit</t>
  </si>
  <si>
    <t xml:space="preserve">Build the reusable components from the UI Design Brief: verification badge (5 states), AI explanation panel, pipeline/funnel stage bar, candidate profile card shell.</t>
  </si>
  <si>
    <t xml:space="preserve">All 4 components exist as reusable, documented components; used verbatim (not re-built) by every downstream screen.</t>
  </si>
  <si>
    <t xml:space="preserve">Satheshwaran</t>
  </si>
  <si>
    <t xml:space="preserve">INF-05</t>
  </si>
  <si>
    <t xml:space="preserve">Seed taxonomy - Software &amp; IT domain + 15 skills</t>
  </si>
  <si>
    <t xml:space="preserve">Seed one domain with ~15 skills and proficiency thresholds per PRD 7.3 (Beginner/Intermediate/Advanced pass bars).</t>
  </si>
  <si>
    <t xml:space="preserve">Taxonomy queryable via API; every skill has a defined pass threshold per level.</t>
  </si>
  <si>
    <t xml:space="preserve">Vedika Gowda</t>
  </si>
  <si>
    <t xml:space="preserve">Ramansh</t>
  </si>
  <si>
    <t xml:space="preserve">INF-06</t>
  </si>
  <si>
    <t xml:space="preserve">D1-D2</t>
  </si>
  <si>
    <t xml:space="preserve">Seed MCQ question bank (Beginner)</t>
  </si>
  <si>
    <t xml:space="preserve">LLM-assisted generation + human review of 10 questions per skill for the 10 highest-priority skills (Beginner level only this sprint).</t>
  </si>
  <si>
    <t xml:space="preserve">100 reviewed, tagged questions stored and linkable to a skill + level.</t>
  </si>
  <si>
    <t xml:space="preserve">SA-T01</t>
  </si>
  <si>
    <t xml:space="preserve">Super Admin</t>
  </si>
  <si>
    <t xml:space="preserve">D2</t>
  </si>
  <si>
    <t xml:space="preserve">Institutions CRUD (API + UI)</t>
  </si>
  <si>
    <t xml:space="preserve">Create/read/update/deactivate institution accounts. Soft-delete only.</t>
  </si>
  <si>
    <t xml:space="preserve">Deactivating an institution locks student logins without deleting data; list/detail/edit all functional.</t>
  </si>
  <si>
    <t xml:space="preserve">SA-T02</t>
  </si>
  <si>
    <t xml:space="preserve">Companies CRUD (API + UI)</t>
  </si>
  <si>
    <t xml:space="preserve">Mirror of Institutions CRUD, plus sector/mode/size fields per PRD SA-09.</t>
  </si>
  <si>
    <t xml:space="preserve">Same acceptance pattern as SA-T01, with domain/sector/mode fields present.</t>
  </si>
  <si>
    <t xml:space="preserve">SA-T03</t>
  </si>
  <si>
    <t xml:space="preserve">Self-onboarding verification queue</t>
  </si>
  <si>
    <t xml:space="preserve">Approve/reject self-signed-up institutions and companies with a mandatory reason field. Approving a company unlocks its Pro plan (corrected per PRD SA-11).</t>
  </si>
  <si>
    <t xml:space="preserve">Approve/reject both flows work; rejection requires a reason; approval flips plan tier.</t>
  </si>
  <si>
    <t xml:space="preserve">SA-T01, SA-T02</t>
  </si>
  <si>
    <t xml:space="preserve">SA-T04</t>
  </si>
  <si>
    <t xml:space="preserve">D3</t>
  </si>
  <si>
    <t xml:space="preserve">Pricing plan &amp; feature-flag matrix</t>
  </si>
  <si>
    <t xml:space="preserve">Simple Free/Basic/Pro toggle matrix per tenant - boolean flags only, no billing/payment integration this sprint.</t>
  </si>
  <si>
    <t xml:space="preserve">Toggling a flag for one tenant does not affect others; flags are readable by the app layer.</t>
  </si>
  <si>
    <t xml:space="preserve">SA-T05</t>
  </si>
  <si>
    <t xml:space="preserve">D2-D3</t>
  </si>
  <si>
    <t xml:space="preserve">Audit log capture + viewer</t>
  </si>
  <si>
    <t xml:space="preserve">Log every candidate-profile view and admin verification decision with actor, action, reason, timestamp.</t>
  </si>
  <si>
    <t xml:space="preserve">Every SA-T06 profile view produces exactly one audit row; log is searchable/filterable.</t>
  </si>
  <si>
    <t xml:space="preserve">SA-T06</t>
  </si>
  <si>
    <t xml:space="preserve">Candidate profile viewer (reason-code gated)</t>
  </si>
  <si>
    <t xml:space="preserve">Brief read-only candidate view for Super Admin. Cannot open without entering a reason code.</t>
  </si>
  <si>
    <t xml:space="preserve">No reason code = no access; access is logged via SA-T05.</t>
  </si>
  <si>
    <t xml:space="preserve">SA-T07</t>
  </si>
  <si>
    <t xml:space="preserve">D4</t>
  </si>
  <si>
    <t xml:space="preserve">Super Admin dashboard</t>
  </si>
  <si>
    <t xml:space="preserve">Metric cards, verification queue widget, plan distribution, recent audit feed - per the wireframe already shared.</t>
  </si>
  <si>
    <t xml:space="preserve">Dashboard reflects live data from SA-T01 through SA-T06, no dummy numbers left in.</t>
  </si>
  <si>
    <t xml:space="preserve">SA-T01..SA-T06</t>
  </si>
  <si>
    <t xml:space="preserve">AC-T01</t>
  </si>
  <si>
    <t xml:space="preserve">Academia</t>
  </si>
  <si>
    <t xml:space="preserve">Batch management CRUD</t>
  </si>
  <si>
    <t xml:space="preserve">Create/edit batches, assign a domain/department, map students into a batch.</t>
  </si>
  <si>
    <t xml:space="preserve">A TPO can create a batch and assign 1+ students to it.</t>
  </si>
  <si>
    <t xml:space="preserve">Vishal Bharath</t>
  </si>
  <si>
    <t xml:space="preserve">AC-T02</t>
  </si>
  <si>
    <t xml:space="preserve">Candidate bulk provisioning</t>
  </si>
  <si>
    <t xml:space="preserve">CSV/Excel upload with column mapping, invite preview, and send-invites action.</t>
  </si>
  <si>
    <t xml:space="preserve">Uploading a well-formed CSV creates N candidate accounts and sends N invite emails; malformed rows are reported, not silently dropped.</t>
  </si>
  <si>
    <t xml:space="preserve">AC-T03</t>
  </si>
  <si>
    <t xml:space="preserve">JD inbox</t>
  </si>
  <si>
    <t xml:space="preserve">List incoming JDs from companies with status (New/Matching/Shortlisting/Sent).</t>
  </si>
  <si>
    <t xml:space="preserve">New JD from CO-T01 appears here within one refresh cycle.</t>
  </si>
  <si>
    <t xml:space="preserve">CO-T01</t>
  </si>
  <si>
    <t xml:space="preserve">AC-T04</t>
  </si>
  <si>
    <t xml:space="preserve">D3-D4</t>
  </si>
  <si>
    <t xml:space="preserve">Ranked candidate suggestions</t>
  </si>
  <si>
    <t xml:space="preserve">Consume the Matching Engine (SE-T05) output and show a ranked list per JD with a one-line match explanation.</t>
  </si>
  <si>
    <t xml:space="preserve">Every suggested candidate shows a score and a plain-language reason.</t>
  </si>
  <si>
    <t xml:space="preserve">SE-T05</t>
  </si>
  <si>
    <t xml:space="preserve">AC-T05</t>
  </si>
  <si>
    <t xml:space="preserve">Shortlist &amp; send-opportunity flow</t>
  </si>
  <si>
    <t xml:space="preserve">TPO shortlists candidates from AC-T04; shortlisted candidates receive an in-app opportunity notification.</t>
  </si>
  <si>
    <t xml:space="preserve">Shortlisting triggers a notification (SE-T07) to the candidate and creates an Application record.</t>
  </si>
  <si>
    <t xml:space="preserve">AC-T06</t>
  </si>
  <si>
    <t xml:space="preserve">Confidence-score review &amp; send-to-company</t>
  </si>
  <si>
    <t xml:space="preserve">TPO reviews the AI confidence-interview score (SE-T02) per candidate and sends the final shortlist to the company.</t>
  </si>
  <si>
    <t xml:space="preserve">Sending updates the Application status and creates entries in the company's ATS (CO-T02).</t>
  </si>
  <si>
    <t xml:space="preserve">SE-T02</t>
  </si>
  <si>
    <t xml:space="preserve">AC-T07</t>
  </si>
  <si>
    <t xml:space="preserve">Academia dashboard</t>
  </si>
  <si>
    <t xml:space="preserve">Profile completion, skill verification snapshot, placement pipeline bar, batch readiness, skill-gap list - per wireframe already shared.</t>
  </si>
  <si>
    <t xml:space="preserve">Dashboard reflects live data from AC-T01 through AC-T06.</t>
  </si>
  <si>
    <t xml:space="preserve">AC-T01..AC-T06</t>
  </si>
  <si>
    <t xml:space="preserve">CN-T01</t>
  </si>
  <si>
    <t xml:space="preserve">Candidate</t>
  </si>
  <si>
    <t xml:space="preserve">Onboarding wizard</t>
  </si>
  <si>
    <t xml:space="preserve">Forced password reset, resume upload trigger, mandatory profile fields, DPDP-aligned consent screens, completion gate.</t>
  </si>
  <si>
    <t xml:space="preserve">Candidate cannot reach the dashboard until all mandatory fields + consent are complete.</t>
  </si>
  <si>
    <t xml:space="preserve">CN-T02</t>
  </si>
  <si>
    <t xml:space="preserve">Resume upload + AI parse pre-fill</t>
  </si>
  <si>
    <t xml:space="preserve">Use an LLM to extract structured fields (education, experience, skills) from the uploaded resume and pre-fill the form.</t>
  </si>
  <si>
    <t xml:space="preserve">At least 70% of extractable fields are correctly pre-filled on a sample of 5 test resumes; manual edit always possible.</t>
  </si>
  <si>
    <t xml:space="preserve">CN-T03</t>
  </si>
  <si>
    <t xml:space="preserve">Profile - education / experience / languages</t>
  </si>
  <si>
    <t xml:space="preserve">Standard CRUD sections plus language + fluency picker.</t>
  </si>
  <si>
    <t xml:space="preserve">All fields save and reload correctly; validation on required fields.</t>
  </si>
  <si>
    <t xml:space="preserve">CN-T04</t>
  </si>
  <si>
    <t xml:space="preserve">Profile - skills section</t>
  </si>
  <si>
    <t xml:space="preserve">Domain-scoped skill picker (from INF-05 taxonomy) with proficiency selector and a live status badge per skill (Declared/In verification/Verified/Locked+cooldown date).</t>
  </si>
  <si>
    <t xml:space="preserve">Declaring a skill immediately shows 'Declared' status and queues verification (SE-T01).</t>
  </si>
  <si>
    <t xml:space="preserve">CN-T05</t>
  </si>
  <si>
    <t xml:space="preserve">Candidate dashboard</t>
  </si>
  <si>
    <t xml:space="preserve">Profile completion, verified skill chips, upcoming items, application tracker preview, public-profile card - per wireframe already shared.</t>
  </si>
  <si>
    <t xml:space="preserve">Dashboard reflects live data, no placeholder numbers.</t>
  </si>
  <si>
    <t xml:space="preserve">CN-T01..CN-T04</t>
  </si>
  <si>
    <t xml:space="preserve">CN-T06</t>
  </si>
  <si>
    <t xml:space="preserve">My Applications tracker</t>
  </si>
  <si>
    <t xml:space="preserve">List + status timeline that mirrors the company's ATS stage in real time.</t>
  </si>
  <si>
    <t xml:space="preserve">Changing a stage in CO-T02 updates this screen without a manual refresh needed beyond standard polling.</t>
  </si>
  <si>
    <t xml:space="preserve">CO-T05</t>
  </si>
  <si>
    <t xml:space="preserve">CN-T07</t>
  </si>
  <si>
    <t xml:space="preserve">Public profile page</t>
  </si>
  <si>
    <t xml:space="preserve">Shareable, view-only page with candidate-controlled section visibility toggles, embedded project videos, verified badges.</t>
  </si>
  <si>
    <t xml:space="preserve">Toggling a section off on the private profile hides it on the public URL immediately.</t>
  </si>
  <si>
    <t xml:space="preserve">CN-T04, SE-T03</t>
  </si>
  <si>
    <t xml:space="preserve">CN-T08</t>
  </si>
  <si>
    <t xml:space="preserve">Project submission form</t>
  </si>
  <si>
    <t xml:space="preserve">Template-driven form (problem/approach/stack/outcome) with a Loom link field and optional GitHub link field.</t>
  </si>
  <si>
    <t xml:space="preserve">Submitting queues SE-T03 and shows a 'processing' state, not a silent spinner.</t>
  </si>
  <si>
    <t xml:space="preserve">SE-T01</t>
  </si>
  <si>
    <t xml:space="preserve">Shared Engine</t>
  </si>
  <si>
    <t xml:space="preserve">Skill verification state machine + Beginner MCQ runner</t>
  </si>
  <si>
    <t xml:space="preserve">Implement the 2-strike/cooldown state machine from PRD 7.3: Declared -&gt; Verified / Demoted -&gt; Beginner reattempt -&gt; Verified-Beginner / Locked -&gt; Cooldown.</t>
  </si>
  <si>
    <t xml:space="preserve">State transitions match the PRD table exactly, including the cooldown date calculation.</t>
  </si>
  <si>
    <t xml:space="preserve">INF-06, CN-T04</t>
  </si>
  <si>
    <t xml:space="preserve">AI confidence / skill interview</t>
  </si>
  <si>
    <t xml:space="preserve">LLM generates skill-relevant questions, scores the candidate's typed or transcribed response, returns pass/fail plus a one-line explanation.</t>
  </si>
  <si>
    <t xml:space="preserve">Every result includes a visible 'why' explanation, not just a score.</t>
  </si>
  <si>
    <t xml:space="preserve">SE-T03</t>
  </si>
  <si>
    <t xml:space="preserve">Project verification AI agent</t>
  </si>
  <si>
    <t xml:space="preserve">Calls GitHub API to read repo structure/README, feeds to LLM for relevance/quality scoring, applies a basic duplicate-text heuristic. Low-confidence results route to a human-review flag rather than auto-rejecting.</t>
  </si>
  <si>
    <t xml:space="preserve">Every submission produces a report with a score, flags, and a review-queue entry when confidence is low.</t>
  </si>
  <si>
    <t xml:space="preserve">SE-T04</t>
  </si>
  <si>
    <t xml:space="preserve">Cognitive &amp; communication profiling</t>
  </si>
  <si>
    <t xml:space="preserve">One autonomous LLM-generated strengths/weaknesses narrative, independent of any specific skill claim.</t>
  </si>
  <si>
    <t xml:space="preserve">Every onboarded candidate has a narrative generated within this sprint's demo dataset.</t>
  </si>
  <si>
    <t xml:space="preserve">Matching engine (rules-based)</t>
  </si>
  <si>
    <t xml:space="preserve">Weighted score = skill match + proficiency met/exceeded + domain match + experience relevance.</t>
  </si>
  <si>
    <t xml:space="preserve">Given a JD and a candidate pool, produces a ranked list with a numeric score for each candidate.</t>
  </si>
  <si>
    <t xml:space="preserve">INF-05, CO-T01</t>
  </si>
  <si>
    <t xml:space="preserve">SE-T06</t>
  </si>
  <si>
    <t xml:space="preserve">Proctoring-lite (STUBBED - not full liveness/ID verification)</t>
  </si>
  <si>
    <t xml:space="preserve">Webcam permission + periodic snapshot capture + tab-blur/window-switch event logging only. Full ID/liveness vendor integration explicitly out of scope this sprint.</t>
  </si>
  <si>
    <t xml:space="preserve">Snapshot and tab-blur events are captured and stored against the session; clearly labeled in-app as a lite version.</t>
  </si>
  <si>
    <t xml:space="preserve">SE-T07</t>
  </si>
  <si>
    <t xml:space="preserve">Notification service</t>
  </si>
  <si>
    <t xml:space="preserve">Email + in-app notifications for opportunity, status change, and verification results.</t>
  </si>
  <si>
    <t xml:space="preserve">Triggering events (shortlist, stage change, verification result) reliably produce a notification.</t>
  </si>
  <si>
    <t xml:space="preserve">Company</t>
  </si>
  <si>
    <t xml:space="preserve">JD posting form + list</t>
  </si>
  <si>
    <t xml:space="preserve">Structured JD form: domain, required skills with minimum proficiency, experience range, location, employment type, headcount.</t>
  </si>
  <si>
    <t xml:space="preserve">Required skills must be picked from the taxonomy (INF-05), not free text.</t>
  </si>
  <si>
    <t xml:space="preserve">CO-T02</t>
  </si>
  <si>
    <t xml:space="preserve">ATS Kanban board</t>
  </si>
  <si>
    <t xml:space="preserve">Drag-and-drop stages: New Matches -&gt; Shortlisted -&gt; AI-Verified -&gt; Interviewing -&gt; Offer -&gt; Hired/Rejected.</t>
  </si>
  <si>
    <t xml:space="preserve">Dragging a card updates its stage and triggers CO-T05 sync.</t>
  </si>
  <si>
    <t xml:space="preserve">CO-T03</t>
  </si>
  <si>
    <t xml:space="preserve">Candidate profile card (read-only)</t>
  </si>
  <si>
    <t xml:space="preserve">Verified badges, cognitive/comm summary, embedded project videos. No download or export affordance.</t>
  </si>
  <si>
    <t xml:space="preserve">No UI element allows exporting or copying raw candidate data in bulk.</t>
  </si>
  <si>
    <t xml:space="preserve">CO-T04</t>
  </si>
  <si>
    <t xml:space="preserve">Company dashboard</t>
  </si>
  <si>
    <t xml:space="preserve">Active openings, new matches, pipeline overview, recent matches list - per wireframe already shared.</t>
  </si>
  <si>
    <t xml:space="preserve">Dashboard reflects live data from CO-T01/CO-T02.</t>
  </si>
  <si>
    <t xml:space="preserve">Satheshwaran, Vishal Bharath</t>
  </si>
  <si>
    <t xml:space="preserve">Status sync - ATS stage -&gt; candidate status</t>
  </si>
  <si>
    <t xml:space="preserve">Stage changes in CO-T02 propagate to the candidate's My Applications view (CN-T06).</t>
  </si>
  <si>
    <t xml:space="preserve">Change is visible to the candidate within one polling cycle.</t>
  </si>
  <si>
    <t xml:space="preserve">CO-T02, CN-T06</t>
  </si>
  <si>
    <t xml:space="preserve">QA-T01</t>
  </si>
  <si>
    <t xml:space="preserve">Release</t>
  </si>
  <si>
    <t xml:space="preserve">D5</t>
  </si>
  <si>
    <t xml:space="preserve">End-to-end flow test</t>
  </si>
  <si>
    <t xml:space="preserve">Walk the full loop: candidate onboarding -&gt; skill verification -&gt; project submission -&gt; TPO shortlist -&gt; AI confidence interview -&gt; company ATS -&gt; hire, on one seeded test dataset.</t>
  </si>
  <si>
    <t xml:space="preserve">All four roles complete their part of the loop without a manual DB fix required.</t>
  </si>
  <si>
    <t xml:space="preserve">All</t>
  </si>
  <si>
    <t xml:space="preserve">All above</t>
  </si>
  <si>
    <t xml:space="preserve">QA-T02</t>
  </si>
  <si>
    <t xml:space="preserve">Bug bash &amp; fixes</t>
  </si>
  <si>
    <t xml:space="preserve">Whole team tests each other's modules and fixes anything blocking the demo flow.</t>
  </si>
  <si>
    <t xml:space="preserve">No P0/P1 bug open against the demo script by end of day.</t>
  </si>
  <si>
    <t xml:space="preserve">QA-T03</t>
  </si>
  <si>
    <t xml:space="preserve">Staging -&gt; production deploy</t>
  </si>
  <si>
    <t xml:space="preserve">Cut the release and deploy to production.</t>
  </si>
  <si>
    <t xml:space="preserve">Production URL passes the same walkthrough as staging.</t>
  </si>
  <si>
    <t xml:space="preserve">QA-T04</t>
  </si>
  <si>
    <t xml:space="preserve">Demo script &amp; handoff doc</t>
  </si>
  <si>
    <t xml:space="preserve">One-page script covering the four-role demo, plus a note of every stubbed/simulated component for stakeholders.</t>
  </si>
  <si>
    <t xml:space="preserve">Anyone on the team could run the demo cold from this doc.</t>
  </si>
  <si>
    <t xml:space="preserve">Team member</t>
  </si>
  <si>
    <t xml:space="preserve">Role</t>
  </si>
  <si>
    <t xml:space="preserve">Primary-owned hours (this sprint)</t>
  </si>
  <si>
    <t xml:space="preserve">Weekly budget (5 x 8h)</t>
  </si>
  <si>
    <t xml:space="preserve">Remaining / (Over)</t>
  </si>
  <si>
    <t xml:space="preserve">System Architect &amp; Production (Expert)</t>
  </si>
  <si>
    <t xml:space="preserve">Backend Engineer (Expert)</t>
  </si>
  <si>
    <t xml:space="preserve">Full Stack Engineer - Backend-leaning</t>
  </si>
  <si>
    <t xml:space="preserve">Full Stack Engineer - Frontend-leaning</t>
  </si>
  <si>
    <t xml:space="preserve">AI Engineer (Intermediate)</t>
  </si>
  <si>
    <t xml:space="preserve">Data Ops Engineer (Beginner/Intern)</t>
  </si>
  <si>
    <t xml:space="preserve">Note: totals count each ticket's Primary Assignee only. Support/pairing hours are collaboration time on top of this and are not separately summed here.</t>
  </si>
  <si>
    <t xml:space="preserve">QA-T02 (Bug bash, 6h, assignee 'All') is a whole-team activity and is intentionally excluded from individual totals.</t>
  </si>
  <si>
    <t xml:space="preserve">Area</t>
  </si>
  <si>
    <t xml:space="preserve">What the PRD V1 describes</t>
  </si>
  <si>
    <t xml:space="preserve">What this 1-week sprint actually ships</t>
  </si>
  <si>
    <t xml:space="preserve">Why</t>
  </si>
  <si>
    <t xml:space="preserve">SSO</t>
  </si>
  <si>
    <t xml:space="preserve">Microsoft Entra ID (Academia), Google Workspace + Microsoft (Company)</t>
  </si>
  <si>
    <t xml:space="preserve">Email/password auth only, pluggable auth layer left ready for SSO</t>
  </si>
  <si>
    <t xml:space="preserve">Enterprise SSO app registration + admin-consent flows take days of vendor/tenant setup, not hours</t>
  </si>
  <si>
    <t xml:space="preserve">Proctoring</t>
  </si>
  <si>
    <t xml:space="preserve">Full pre-check (ID + liveness match, environment scan, mic calibration), continuous face/gaze tracking, multi-person detection</t>
  </si>
  <si>
    <t xml:space="preserve">Webcam snapshot + tab-blur/window-switch logging only - explicitly labeled 'lite' in-app</t>
  </si>
  <si>
    <t xml:space="preserve">Liveness/ID verification is a vendor integration with contracts and compliance review; cannot be built safely in days</t>
  </si>
  <si>
    <t xml:space="preserve">Project plagiarism check</t>
  </si>
  <si>
    <t xml:space="preserve">Compare against public repos and prior submissions at scale</t>
  </si>
  <si>
    <t xml:space="preserve">Basic duplicate-text heuristic + LLM relevance/quality scoring, human-review queue for anything uncertain</t>
  </si>
  <si>
    <t xml:space="preserve">A real plagiarism corpus/index is a multi-week data engineering effort</t>
  </si>
  <si>
    <t xml:space="preserve">Taxonomy breadth</t>
  </si>
  <si>
    <t xml:space="preserve">Domain taxonomy versioned and expandable across all engineering sub-domains</t>
  </si>
  <si>
    <t xml:space="preserve">One domain seeded (Software &amp; IT), ~15 skills, Beginner-level question bank only</t>
  </si>
  <si>
    <t xml:space="preserve">Content authoring at full breadth is a content-ops workstream, not a code workstream</t>
  </si>
  <si>
    <t xml:space="preserve">Multi-tenancy isolation</t>
  </si>
  <si>
    <t xml:space="preserve">Fully isolated multi-tenant data architecture</t>
  </si>
  <si>
    <t xml:space="preserve">Shared DB with tenant_id scoping enforced at the API layer</t>
  </si>
  <si>
    <t xml:space="preserve">Full isolation (separate schemas/DBs per tenant) is a hardening pass, not needed to prove the loop works</t>
  </si>
  <si>
    <t xml:space="preserve">Compliance exports, NAAC/NBA</t>
  </si>
  <si>
    <t xml:space="preserve">Already V2 in the PRD</t>
  </si>
  <si>
    <t xml:space="preserve">Not built</t>
  </si>
  <si>
    <t xml:space="preserve">Confirmed out of scope - no change</t>
  </si>
  <si>
    <t xml:space="preserve">Assessment/Interview builder (TPO)</t>
  </si>
  <si>
    <t xml:space="preserve">Multi-seat company accounts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</si>
</sst>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9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4</v>
      </c>
      <c r="J2" s="2" t="s">
        <v>20</v>
      </c>
      <c r="K2" s="2" t="s">
        <v>19</v>
      </c>
      <c r="L2" s="2" t="s">
        <v>21</v>
      </c>
    </row>
    <row r="3" customFormat="false" ht="46.25" hidden="false" customHeight="false" outlineLevel="0" collapsed="false">
      <c r="A3" s="2" t="s">
        <v>22</v>
      </c>
      <c r="B3" s="2" t="s">
        <v>13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18</v>
      </c>
      <c r="H3" s="2" t="s">
        <v>26</v>
      </c>
      <c r="I3" s="2" t="n">
        <v>5</v>
      </c>
      <c r="J3" s="2" t="s">
        <v>20</v>
      </c>
      <c r="K3" s="2" t="s">
        <v>12</v>
      </c>
      <c r="L3" s="2" t="s">
        <v>21</v>
      </c>
    </row>
    <row r="4" customFormat="false" ht="35.05" hidden="false" customHeight="false" outlineLevel="0" collapsed="false">
      <c r="A4" s="2" t="s">
        <v>27</v>
      </c>
      <c r="B4" s="2" t="s">
        <v>13</v>
      </c>
      <c r="C4" s="2" t="s">
        <v>14</v>
      </c>
      <c r="D4" s="2" t="s">
        <v>28</v>
      </c>
      <c r="E4" s="2" t="s">
        <v>29</v>
      </c>
      <c r="F4" s="2" t="s">
        <v>30</v>
      </c>
      <c r="G4" s="2" t="s">
        <v>26</v>
      </c>
      <c r="H4" s="2" t="s">
        <v>18</v>
      </c>
      <c r="I4" s="2" t="n">
        <v>5</v>
      </c>
      <c r="J4" s="2" t="s">
        <v>20</v>
      </c>
      <c r="K4" s="2" t="s">
        <v>22</v>
      </c>
      <c r="L4" s="2" t="s">
        <v>21</v>
      </c>
    </row>
    <row r="5" customFormat="false" ht="35.05" hidden="false" customHeight="false" outlineLevel="0" collapsed="false">
      <c r="A5" s="2" t="s">
        <v>31</v>
      </c>
      <c r="B5" s="2" t="s">
        <v>13</v>
      </c>
      <c r="C5" s="2" t="s">
        <v>14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19</v>
      </c>
      <c r="I5" s="2" t="n">
        <v>5</v>
      </c>
      <c r="J5" s="2" t="s">
        <v>20</v>
      </c>
      <c r="K5" s="2" t="s">
        <v>19</v>
      </c>
      <c r="L5" s="2" t="s">
        <v>21</v>
      </c>
    </row>
    <row r="6" customFormat="false" ht="35.05" hidden="false" customHeight="false" outlineLevel="0" collapsed="false">
      <c r="A6" s="2" t="s">
        <v>36</v>
      </c>
      <c r="B6" s="2" t="s">
        <v>13</v>
      </c>
      <c r="C6" s="2" t="s">
        <v>14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n">
        <v>5</v>
      </c>
      <c r="J6" s="2" t="s">
        <v>20</v>
      </c>
      <c r="K6" s="2" t="s">
        <v>22</v>
      </c>
      <c r="L6" s="2" t="s">
        <v>21</v>
      </c>
    </row>
    <row r="7" customFormat="false" ht="35.05" hidden="false" customHeight="false" outlineLevel="0" collapsed="false">
      <c r="A7" s="2" t="s">
        <v>42</v>
      </c>
      <c r="B7" s="2" t="s">
        <v>13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40</v>
      </c>
      <c r="H7" s="2" t="s">
        <v>41</v>
      </c>
      <c r="I7" s="2" t="n">
        <v>6</v>
      </c>
      <c r="J7" s="2" t="s">
        <v>20</v>
      </c>
      <c r="K7" s="2" t="s">
        <v>36</v>
      </c>
      <c r="L7" s="2" t="s">
        <v>21</v>
      </c>
    </row>
    <row r="8" customFormat="false" ht="23.85" hidden="false" customHeight="false" outlineLevel="0" collapsed="false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26</v>
      </c>
      <c r="H8" s="2" t="s">
        <v>35</v>
      </c>
      <c r="I8" s="2" t="n">
        <v>6</v>
      </c>
      <c r="J8" s="2" t="s">
        <v>20</v>
      </c>
      <c r="K8" s="2" t="s">
        <v>27</v>
      </c>
      <c r="L8" s="2" t="s">
        <v>21</v>
      </c>
    </row>
    <row r="9" customFormat="false" ht="23.85" hidden="false" customHeight="false" outlineLevel="0" collapsed="false">
      <c r="A9" s="2" t="s">
        <v>53</v>
      </c>
      <c r="B9" s="2" t="s">
        <v>48</v>
      </c>
      <c r="C9" s="2" t="s">
        <v>49</v>
      </c>
      <c r="D9" s="2" t="s">
        <v>54</v>
      </c>
      <c r="E9" s="2" t="s">
        <v>55</v>
      </c>
      <c r="F9" s="2" t="s">
        <v>56</v>
      </c>
      <c r="G9" s="2" t="s">
        <v>26</v>
      </c>
      <c r="H9" s="2" t="s">
        <v>35</v>
      </c>
      <c r="I9" s="2" t="n">
        <v>6</v>
      </c>
      <c r="J9" s="2" t="s">
        <v>20</v>
      </c>
      <c r="K9" s="2" t="s">
        <v>27</v>
      </c>
      <c r="L9" s="2" t="s">
        <v>21</v>
      </c>
    </row>
    <row r="10" customFormat="false" ht="35.05" hidden="false" customHeight="false" outlineLevel="0" collapsed="false">
      <c r="A10" s="2" t="s">
        <v>57</v>
      </c>
      <c r="B10" s="2" t="s">
        <v>48</v>
      </c>
      <c r="C10" s="2" t="s">
        <v>49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19</v>
      </c>
      <c r="I10" s="2" t="n">
        <v>4</v>
      </c>
      <c r="J10" s="2" t="s">
        <v>20</v>
      </c>
      <c r="K10" s="2" t="s">
        <v>61</v>
      </c>
      <c r="L10" s="2" t="s">
        <v>21</v>
      </c>
    </row>
    <row r="11" customFormat="false" ht="35.05" hidden="false" customHeight="false" outlineLevel="0" collapsed="false">
      <c r="A11" s="2" t="s">
        <v>62</v>
      </c>
      <c r="B11" s="2" t="s">
        <v>48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19</v>
      </c>
      <c r="I11" s="2" t="n">
        <v>4</v>
      </c>
      <c r="J11" s="2" t="s">
        <v>20</v>
      </c>
      <c r="K11" s="2" t="s">
        <v>57</v>
      </c>
      <c r="L11" s="2" t="s">
        <v>21</v>
      </c>
    </row>
    <row r="12" customFormat="false" ht="23.85" hidden="false" customHeight="false" outlineLevel="0" collapsed="false">
      <c r="A12" s="2" t="s">
        <v>67</v>
      </c>
      <c r="B12" s="2" t="s">
        <v>48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18</v>
      </c>
      <c r="H12" s="2" t="s">
        <v>26</v>
      </c>
      <c r="I12" s="2" t="n">
        <v>4</v>
      </c>
      <c r="J12" s="2" t="s">
        <v>20</v>
      </c>
      <c r="K12" s="2" t="s">
        <v>27</v>
      </c>
      <c r="L12" s="2" t="s">
        <v>21</v>
      </c>
    </row>
    <row r="13" customFormat="false" ht="23.85" hidden="false" customHeight="false" outlineLevel="0" collapsed="false">
      <c r="A13" s="2" t="s">
        <v>72</v>
      </c>
      <c r="B13" s="2" t="s">
        <v>48</v>
      </c>
      <c r="C13" s="2" t="s">
        <v>63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19</v>
      </c>
      <c r="I13" s="2" t="n">
        <v>3</v>
      </c>
      <c r="J13" s="2" t="s">
        <v>20</v>
      </c>
      <c r="K13" s="2" t="s">
        <v>67</v>
      </c>
      <c r="L13" s="2" t="s">
        <v>21</v>
      </c>
    </row>
    <row r="14" customFormat="false" ht="23.85" hidden="false" customHeight="false" outlineLevel="0" collapsed="false">
      <c r="A14" s="2" t="s">
        <v>76</v>
      </c>
      <c r="B14" s="2" t="s">
        <v>48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26</v>
      </c>
      <c r="H14" s="2" t="s">
        <v>35</v>
      </c>
      <c r="I14" s="2" t="n">
        <v>5</v>
      </c>
      <c r="J14" s="2" t="s">
        <v>20</v>
      </c>
      <c r="K14" s="2" t="s">
        <v>81</v>
      </c>
      <c r="L14" s="2" t="s">
        <v>21</v>
      </c>
    </row>
    <row r="15" customFormat="false" ht="23.85" hidden="false" customHeight="false" outlineLevel="0" collapsed="false">
      <c r="A15" s="2" t="s">
        <v>82</v>
      </c>
      <c r="B15" s="2" t="s">
        <v>83</v>
      </c>
      <c r="C15" s="2" t="s">
        <v>49</v>
      </c>
      <c r="D15" s="2" t="s">
        <v>84</v>
      </c>
      <c r="E15" s="2" t="s">
        <v>85</v>
      </c>
      <c r="F15" s="2" t="s">
        <v>86</v>
      </c>
      <c r="G15" s="2" t="s">
        <v>40</v>
      </c>
      <c r="H15" s="2" t="s">
        <v>87</v>
      </c>
      <c r="I15" s="2" t="n">
        <v>4</v>
      </c>
      <c r="J15" s="2" t="s">
        <v>20</v>
      </c>
      <c r="K15" s="2" t="s">
        <v>27</v>
      </c>
      <c r="L15" s="2" t="s">
        <v>21</v>
      </c>
    </row>
    <row r="16" customFormat="false" ht="35.05" hidden="false" customHeight="false" outlineLevel="0" collapsed="false">
      <c r="A16" s="2" t="s">
        <v>88</v>
      </c>
      <c r="B16" s="2" t="s">
        <v>83</v>
      </c>
      <c r="C16" s="2" t="s">
        <v>49</v>
      </c>
      <c r="D16" s="2" t="s">
        <v>89</v>
      </c>
      <c r="E16" s="2" t="s">
        <v>90</v>
      </c>
      <c r="F16" s="2" t="s">
        <v>91</v>
      </c>
      <c r="G16" s="2" t="s">
        <v>40</v>
      </c>
      <c r="H16" s="2" t="s">
        <v>87</v>
      </c>
      <c r="I16" s="2" t="n">
        <v>5</v>
      </c>
      <c r="J16" s="2" t="s">
        <v>20</v>
      </c>
      <c r="K16" s="2" t="s">
        <v>82</v>
      </c>
      <c r="L16" s="2" t="s">
        <v>21</v>
      </c>
    </row>
    <row r="17" customFormat="false" ht="23.85" hidden="false" customHeight="false" outlineLevel="0" collapsed="false">
      <c r="A17" s="2" t="s">
        <v>92</v>
      </c>
      <c r="B17" s="2" t="s">
        <v>83</v>
      </c>
      <c r="C17" s="2" t="s">
        <v>63</v>
      </c>
      <c r="D17" s="2" t="s">
        <v>93</v>
      </c>
      <c r="E17" s="2" t="s">
        <v>94</v>
      </c>
      <c r="F17" s="2" t="s">
        <v>95</v>
      </c>
      <c r="G17" s="2" t="s">
        <v>87</v>
      </c>
      <c r="H17" s="2" t="s">
        <v>19</v>
      </c>
      <c r="I17" s="2" t="n">
        <v>3</v>
      </c>
      <c r="J17" s="2" t="s">
        <v>20</v>
      </c>
      <c r="K17" s="2" t="s">
        <v>96</v>
      </c>
      <c r="L17" s="2" t="s">
        <v>21</v>
      </c>
    </row>
    <row r="18" customFormat="false" ht="35.05" hidden="false" customHeight="false" outlineLevel="0" collapsed="false">
      <c r="A18" s="2" t="s">
        <v>97</v>
      </c>
      <c r="B18" s="2" t="s">
        <v>83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87</v>
      </c>
      <c r="H18" s="2" t="s">
        <v>35</v>
      </c>
      <c r="I18" s="2" t="n">
        <v>5</v>
      </c>
      <c r="J18" s="2" t="s">
        <v>20</v>
      </c>
      <c r="K18" s="2" t="s">
        <v>102</v>
      </c>
      <c r="L18" s="2" t="s">
        <v>21</v>
      </c>
    </row>
    <row r="19" customFormat="false" ht="23.85" hidden="false" customHeight="false" outlineLevel="0" collapsed="false">
      <c r="A19" s="2" t="s">
        <v>103</v>
      </c>
      <c r="B19" s="2" t="s">
        <v>83</v>
      </c>
      <c r="C19" s="2" t="s">
        <v>77</v>
      </c>
      <c r="D19" s="2" t="s">
        <v>104</v>
      </c>
      <c r="E19" s="2" t="s">
        <v>105</v>
      </c>
      <c r="F19" s="2" t="s">
        <v>106</v>
      </c>
      <c r="G19" s="2" t="s">
        <v>87</v>
      </c>
      <c r="H19" s="2" t="s">
        <v>35</v>
      </c>
      <c r="I19" s="2" t="n">
        <v>5</v>
      </c>
      <c r="J19" s="2" t="s">
        <v>20</v>
      </c>
      <c r="K19" s="2" t="s">
        <v>97</v>
      </c>
      <c r="L19" s="2" t="s">
        <v>21</v>
      </c>
    </row>
    <row r="20" customFormat="false" ht="35.05" hidden="false" customHeight="false" outlineLevel="0" collapsed="false">
      <c r="A20" s="2" t="s">
        <v>107</v>
      </c>
      <c r="B20" s="2" t="s">
        <v>83</v>
      </c>
      <c r="C20" s="2" t="s">
        <v>77</v>
      </c>
      <c r="D20" s="2" t="s">
        <v>108</v>
      </c>
      <c r="E20" s="2" t="s">
        <v>109</v>
      </c>
      <c r="F20" s="2" t="s">
        <v>110</v>
      </c>
      <c r="G20" s="2" t="s">
        <v>87</v>
      </c>
      <c r="H20" s="2" t="s">
        <v>19</v>
      </c>
      <c r="I20" s="2" t="n">
        <v>4</v>
      </c>
      <c r="J20" s="2" t="s">
        <v>20</v>
      </c>
      <c r="K20" s="2" t="s">
        <v>111</v>
      </c>
      <c r="L20" s="2" t="s">
        <v>21</v>
      </c>
    </row>
    <row r="21" customFormat="false" ht="35.05" hidden="false" customHeight="false" outlineLevel="0" collapsed="false">
      <c r="A21" s="2" t="s">
        <v>112</v>
      </c>
      <c r="B21" s="2" t="s">
        <v>83</v>
      </c>
      <c r="C21" s="2" t="s">
        <v>77</v>
      </c>
      <c r="D21" s="2" t="s">
        <v>113</v>
      </c>
      <c r="E21" s="2" t="s">
        <v>114</v>
      </c>
      <c r="F21" s="2" t="s">
        <v>115</v>
      </c>
      <c r="G21" s="2" t="s">
        <v>87</v>
      </c>
      <c r="H21" s="2" t="s">
        <v>35</v>
      </c>
      <c r="I21" s="2" t="n">
        <v>6</v>
      </c>
      <c r="J21" s="2" t="s">
        <v>20</v>
      </c>
      <c r="K21" s="2" t="s">
        <v>116</v>
      </c>
      <c r="L21" s="2" t="s">
        <v>21</v>
      </c>
    </row>
    <row r="22" customFormat="false" ht="35.05" hidden="false" customHeight="false" outlineLevel="0" collapsed="false">
      <c r="A22" s="2" t="s">
        <v>117</v>
      </c>
      <c r="B22" s="2" t="s">
        <v>118</v>
      </c>
      <c r="C22" s="2" t="s">
        <v>49</v>
      </c>
      <c r="D22" s="2" t="s">
        <v>119</v>
      </c>
      <c r="E22" s="2" t="s">
        <v>120</v>
      </c>
      <c r="F22" s="2" t="s">
        <v>121</v>
      </c>
      <c r="G22" s="2" t="s">
        <v>35</v>
      </c>
      <c r="H22" s="2" t="s">
        <v>87</v>
      </c>
      <c r="I22" s="2" t="n">
        <v>8</v>
      </c>
      <c r="J22" s="2" t="s">
        <v>20</v>
      </c>
      <c r="K22" s="2" t="s">
        <v>31</v>
      </c>
      <c r="L22" s="2" t="s">
        <v>21</v>
      </c>
    </row>
    <row r="23" customFormat="false" ht="35.05" hidden="false" customHeight="false" outlineLevel="0" collapsed="false">
      <c r="A23" s="2" t="s">
        <v>122</v>
      </c>
      <c r="B23" s="2" t="s">
        <v>118</v>
      </c>
      <c r="C23" s="2" t="s">
        <v>49</v>
      </c>
      <c r="D23" s="2" t="s">
        <v>123</v>
      </c>
      <c r="E23" s="2" t="s">
        <v>124</v>
      </c>
      <c r="F23" s="2" t="s">
        <v>125</v>
      </c>
      <c r="G23" s="2" t="s">
        <v>41</v>
      </c>
      <c r="H23" s="2" t="s">
        <v>87</v>
      </c>
      <c r="I23" s="2" t="n">
        <v>5</v>
      </c>
      <c r="J23" s="2" t="s">
        <v>20</v>
      </c>
      <c r="K23" s="2" t="s">
        <v>117</v>
      </c>
      <c r="L23" s="2" t="s">
        <v>21</v>
      </c>
    </row>
    <row r="24" customFormat="false" ht="23.85" hidden="false" customHeight="false" outlineLevel="0" collapsed="false">
      <c r="A24" s="2" t="s">
        <v>126</v>
      </c>
      <c r="B24" s="2" t="s">
        <v>118</v>
      </c>
      <c r="C24" s="2" t="s">
        <v>49</v>
      </c>
      <c r="D24" s="2" t="s">
        <v>127</v>
      </c>
      <c r="E24" s="2" t="s">
        <v>128</v>
      </c>
      <c r="F24" s="2" t="s">
        <v>129</v>
      </c>
      <c r="G24" s="2" t="s">
        <v>40</v>
      </c>
      <c r="H24" s="2" t="s">
        <v>87</v>
      </c>
      <c r="I24" s="2" t="n">
        <v>5</v>
      </c>
      <c r="J24" s="2" t="s">
        <v>20</v>
      </c>
      <c r="K24" s="2" t="s">
        <v>117</v>
      </c>
      <c r="L24" s="2" t="s">
        <v>21</v>
      </c>
    </row>
    <row r="25" customFormat="false" ht="46.25" hidden="false" customHeight="false" outlineLevel="0" collapsed="false">
      <c r="A25" s="2" t="s">
        <v>130</v>
      </c>
      <c r="B25" s="2" t="s">
        <v>118</v>
      </c>
      <c r="C25" s="2" t="s">
        <v>68</v>
      </c>
      <c r="D25" s="2" t="s">
        <v>131</v>
      </c>
      <c r="E25" s="2" t="s">
        <v>132</v>
      </c>
      <c r="F25" s="2" t="s">
        <v>133</v>
      </c>
      <c r="G25" s="2" t="s">
        <v>35</v>
      </c>
      <c r="H25" s="2" t="s">
        <v>87</v>
      </c>
      <c r="I25" s="2" t="n">
        <v>5</v>
      </c>
      <c r="J25" s="2" t="s">
        <v>20</v>
      </c>
      <c r="K25" s="2" t="s">
        <v>36</v>
      </c>
      <c r="L25" s="2" t="s">
        <v>21</v>
      </c>
    </row>
    <row r="26" customFormat="false" ht="35.05" hidden="false" customHeight="false" outlineLevel="0" collapsed="false">
      <c r="A26" s="2" t="s">
        <v>134</v>
      </c>
      <c r="B26" s="2" t="s">
        <v>118</v>
      </c>
      <c r="C26" s="2" t="s">
        <v>63</v>
      </c>
      <c r="D26" s="2" t="s">
        <v>135</v>
      </c>
      <c r="E26" s="2" t="s">
        <v>136</v>
      </c>
      <c r="F26" s="2" t="s">
        <v>137</v>
      </c>
      <c r="G26" s="2" t="s">
        <v>35</v>
      </c>
      <c r="H26" s="2" t="s">
        <v>19</v>
      </c>
      <c r="I26" s="2" t="n">
        <v>5</v>
      </c>
      <c r="J26" s="2" t="s">
        <v>20</v>
      </c>
      <c r="K26" s="2" t="s">
        <v>138</v>
      </c>
      <c r="L26" s="2" t="s">
        <v>21</v>
      </c>
    </row>
    <row r="27" customFormat="false" ht="35.05" hidden="false" customHeight="false" outlineLevel="0" collapsed="false">
      <c r="A27" s="2" t="s">
        <v>139</v>
      </c>
      <c r="B27" s="2" t="s">
        <v>118</v>
      </c>
      <c r="C27" s="2" t="s">
        <v>77</v>
      </c>
      <c r="D27" s="2" t="s">
        <v>140</v>
      </c>
      <c r="E27" s="2" t="s">
        <v>141</v>
      </c>
      <c r="F27" s="2" t="s">
        <v>142</v>
      </c>
      <c r="G27" s="2" t="s">
        <v>87</v>
      </c>
      <c r="H27" s="2" t="s">
        <v>35</v>
      </c>
      <c r="I27" s="2" t="n">
        <v>4</v>
      </c>
      <c r="J27" s="2" t="s">
        <v>20</v>
      </c>
      <c r="K27" s="2" t="s">
        <v>143</v>
      </c>
      <c r="L27" s="2" t="s">
        <v>21</v>
      </c>
    </row>
    <row r="28" customFormat="false" ht="35.05" hidden="false" customHeight="false" outlineLevel="0" collapsed="false">
      <c r="A28" s="2" t="s">
        <v>144</v>
      </c>
      <c r="B28" s="2" t="s">
        <v>118</v>
      </c>
      <c r="C28" s="2" t="s">
        <v>77</v>
      </c>
      <c r="D28" s="2" t="s">
        <v>145</v>
      </c>
      <c r="E28" s="2" t="s">
        <v>146</v>
      </c>
      <c r="F28" s="2" t="s">
        <v>147</v>
      </c>
      <c r="G28" s="2" t="s">
        <v>35</v>
      </c>
      <c r="H28" s="2" t="s">
        <v>19</v>
      </c>
      <c r="I28" s="2" t="n">
        <v>5</v>
      </c>
      <c r="J28" s="2" t="s">
        <v>20</v>
      </c>
      <c r="K28" s="2" t="s">
        <v>148</v>
      </c>
      <c r="L28" s="2" t="s">
        <v>21</v>
      </c>
    </row>
    <row r="29" customFormat="false" ht="35.05" hidden="false" customHeight="false" outlineLevel="0" collapsed="false">
      <c r="A29" s="2" t="s">
        <v>149</v>
      </c>
      <c r="B29" s="2" t="s">
        <v>118</v>
      </c>
      <c r="C29" s="2" t="s">
        <v>63</v>
      </c>
      <c r="D29" s="2" t="s">
        <v>150</v>
      </c>
      <c r="E29" s="2" t="s">
        <v>151</v>
      </c>
      <c r="F29" s="2" t="s">
        <v>152</v>
      </c>
      <c r="G29" s="2" t="s">
        <v>35</v>
      </c>
      <c r="H29" s="2" t="s">
        <v>87</v>
      </c>
      <c r="I29" s="2" t="n">
        <v>5</v>
      </c>
      <c r="J29" s="2" t="s">
        <v>20</v>
      </c>
      <c r="K29" s="2" t="s">
        <v>130</v>
      </c>
      <c r="L29" s="2" t="s">
        <v>21</v>
      </c>
    </row>
    <row r="30" customFormat="false" ht="35.05" hidden="false" customHeight="false" outlineLevel="0" collapsed="false">
      <c r="A30" s="2" t="s">
        <v>153</v>
      </c>
      <c r="B30" s="2" t="s">
        <v>154</v>
      </c>
      <c r="C30" s="2" t="s">
        <v>63</v>
      </c>
      <c r="D30" s="2" t="s">
        <v>155</v>
      </c>
      <c r="E30" s="2" t="s">
        <v>156</v>
      </c>
      <c r="F30" s="2" t="s">
        <v>157</v>
      </c>
      <c r="G30" s="2" t="s">
        <v>41</v>
      </c>
      <c r="H30" s="2" t="s">
        <v>87</v>
      </c>
      <c r="I30" s="2" t="n">
        <v>8</v>
      </c>
      <c r="J30" s="2" t="s">
        <v>20</v>
      </c>
      <c r="K30" s="2" t="s">
        <v>158</v>
      </c>
      <c r="L30" s="2" t="s">
        <v>21</v>
      </c>
    </row>
    <row r="31" customFormat="false" ht="35.05" hidden="false" customHeight="false" outlineLevel="0" collapsed="false">
      <c r="A31" s="2" t="s">
        <v>111</v>
      </c>
      <c r="B31" s="2" t="s">
        <v>154</v>
      </c>
      <c r="C31" s="2" t="s">
        <v>98</v>
      </c>
      <c r="D31" s="2" t="s">
        <v>159</v>
      </c>
      <c r="E31" s="2" t="s">
        <v>160</v>
      </c>
      <c r="F31" s="2" t="s">
        <v>161</v>
      </c>
      <c r="G31" s="2" t="s">
        <v>41</v>
      </c>
      <c r="H31" s="2" t="s">
        <v>19</v>
      </c>
      <c r="I31" s="2" t="n">
        <v>8</v>
      </c>
      <c r="J31" s="2" t="s">
        <v>20</v>
      </c>
      <c r="K31" s="2" t="s">
        <v>153</v>
      </c>
      <c r="L31" s="2" t="s">
        <v>21</v>
      </c>
    </row>
    <row r="32" customFormat="false" ht="46.25" hidden="false" customHeight="false" outlineLevel="0" collapsed="false">
      <c r="A32" s="2" t="s">
        <v>162</v>
      </c>
      <c r="B32" s="2" t="s">
        <v>154</v>
      </c>
      <c r="C32" s="2" t="s">
        <v>98</v>
      </c>
      <c r="D32" s="2" t="s">
        <v>163</v>
      </c>
      <c r="E32" s="2" t="s">
        <v>164</v>
      </c>
      <c r="F32" s="2" t="s">
        <v>165</v>
      </c>
      <c r="G32" s="2" t="s">
        <v>41</v>
      </c>
      <c r="H32" s="2" t="s">
        <v>19</v>
      </c>
      <c r="I32" s="2" t="n">
        <v>8</v>
      </c>
      <c r="J32" s="2" t="s">
        <v>20</v>
      </c>
      <c r="K32" s="2" t="s">
        <v>149</v>
      </c>
      <c r="L32" s="2" t="s">
        <v>21</v>
      </c>
    </row>
    <row r="33" customFormat="false" ht="23.85" hidden="false" customHeight="false" outlineLevel="0" collapsed="false">
      <c r="A33" s="2" t="s">
        <v>166</v>
      </c>
      <c r="B33" s="2" t="s">
        <v>154</v>
      </c>
      <c r="C33" s="2" t="s">
        <v>77</v>
      </c>
      <c r="D33" s="2" t="s">
        <v>167</v>
      </c>
      <c r="E33" s="2" t="s">
        <v>168</v>
      </c>
      <c r="F33" s="2" t="s">
        <v>169</v>
      </c>
      <c r="G33" s="2" t="s">
        <v>41</v>
      </c>
      <c r="H33" s="2" t="s">
        <v>19</v>
      </c>
      <c r="I33" s="2" t="n">
        <v>5</v>
      </c>
      <c r="J33" s="2" t="s">
        <v>20</v>
      </c>
      <c r="K33" s="2" t="s">
        <v>117</v>
      </c>
      <c r="L33" s="2" t="s">
        <v>21</v>
      </c>
    </row>
    <row r="34" customFormat="false" ht="23.85" hidden="false" customHeight="false" outlineLevel="0" collapsed="false">
      <c r="A34" s="2" t="s">
        <v>102</v>
      </c>
      <c r="B34" s="2" t="s">
        <v>154</v>
      </c>
      <c r="C34" s="2" t="s">
        <v>63</v>
      </c>
      <c r="D34" s="2" t="s">
        <v>170</v>
      </c>
      <c r="E34" s="2" t="s">
        <v>171</v>
      </c>
      <c r="F34" s="2" t="s">
        <v>172</v>
      </c>
      <c r="G34" s="2" t="s">
        <v>26</v>
      </c>
      <c r="H34" s="2" t="s">
        <v>19</v>
      </c>
      <c r="I34" s="2" t="n">
        <v>5</v>
      </c>
      <c r="J34" s="2" t="s">
        <v>20</v>
      </c>
      <c r="K34" s="2" t="s">
        <v>173</v>
      </c>
      <c r="L34" s="2" t="s">
        <v>21</v>
      </c>
    </row>
    <row r="35" customFormat="false" ht="35.05" hidden="false" customHeight="false" outlineLevel="0" collapsed="false">
      <c r="A35" s="2" t="s">
        <v>174</v>
      </c>
      <c r="B35" s="2" t="s">
        <v>154</v>
      </c>
      <c r="C35" s="2" t="s">
        <v>77</v>
      </c>
      <c r="D35" s="2" t="s">
        <v>175</v>
      </c>
      <c r="E35" s="2" t="s">
        <v>176</v>
      </c>
      <c r="F35" s="2" t="s">
        <v>177</v>
      </c>
      <c r="G35" s="2" t="s">
        <v>35</v>
      </c>
      <c r="H35" s="2" t="s">
        <v>18</v>
      </c>
      <c r="I35" s="2" t="n">
        <v>5</v>
      </c>
      <c r="J35" s="2" t="s">
        <v>20</v>
      </c>
      <c r="K35" s="2" t="s">
        <v>153</v>
      </c>
      <c r="L35" s="2" t="s">
        <v>21</v>
      </c>
    </row>
    <row r="36" customFormat="false" ht="23.85" hidden="false" customHeight="false" outlineLevel="0" collapsed="false">
      <c r="A36" s="2" t="s">
        <v>178</v>
      </c>
      <c r="B36" s="2" t="s">
        <v>154</v>
      </c>
      <c r="C36" s="2" t="s">
        <v>63</v>
      </c>
      <c r="D36" s="2" t="s">
        <v>179</v>
      </c>
      <c r="E36" s="2" t="s">
        <v>180</v>
      </c>
      <c r="F36" s="2" t="s">
        <v>181</v>
      </c>
      <c r="G36" s="2" t="s">
        <v>26</v>
      </c>
      <c r="H36" s="2" t="s">
        <v>19</v>
      </c>
      <c r="I36" s="2" t="n">
        <v>4</v>
      </c>
      <c r="J36" s="2" t="s">
        <v>20</v>
      </c>
      <c r="K36" s="2" t="s">
        <v>27</v>
      </c>
      <c r="L36" s="2" t="s">
        <v>21</v>
      </c>
    </row>
    <row r="37" customFormat="false" ht="35.05" hidden="false" customHeight="false" outlineLevel="0" collapsed="false">
      <c r="A37" s="2" t="s">
        <v>96</v>
      </c>
      <c r="B37" s="2" t="s">
        <v>182</v>
      </c>
      <c r="C37" s="2" t="s">
        <v>63</v>
      </c>
      <c r="D37" s="2" t="s">
        <v>183</v>
      </c>
      <c r="E37" s="2" t="s">
        <v>184</v>
      </c>
      <c r="F37" s="2" t="s">
        <v>185</v>
      </c>
      <c r="G37" s="2" t="s">
        <v>87</v>
      </c>
      <c r="H37" s="2" t="s">
        <v>35</v>
      </c>
      <c r="I37" s="2" t="n">
        <v>5</v>
      </c>
      <c r="J37" s="2" t="s">
        <v>20</v>
      </c>
      <c r="K37" s="2" t="s">
        <v>27</v>
      </c>
      <c r="L37" s="2" t="s">
        <v>21</v>
      </c>
    </row>
    <row r="38" customFormat="false" ht="23.85" hidden="false" customHeight="false" outlineLevel="0" collapsed="false">
      <c r="A38" s="2" t="s">
        <v>186</v>
      </c>
      <c r="B38" s="2" t="s">
        <v>182</v>
      </c>
      <c r="C38" s="2" t="s">
        <v>98</v>
      </c>
      <c r="D38" s="2" t="s">
        <v>187</v>
      </c>
      <c r="E38" s="2" t="s">
        <v>188</v>
      </c>
      <c r="F38" s="2" t="s">
        <v>189</v>
      </c>
      <c r="G38" s="2" t="s">
        <v>87</v>
      </c>
      <c r="H38" s="2" t="s">
        <v>35</v>
      </c>
      <c r="I38" s="2" t="n">
        <v>6</v>
      </c>
      <c r="J38" s="2" t="s">
        <v>20</v>
      </c>
      <c r="K38" s="2" t="s">
        <v>96</v>
      </c>
      <c r="L38" s="2" t="s">
        <v>21</v>
      </c>
    </row>
    <row r="39" customFormat="false" ht="23.85" hidden="false" customHeight="false" outlineLevel="0" collapsed="false">
      <c r="A39" s="2" t="s">
        <v>190</v>
      </c>
      <c r="B39" s="2" t="s">
        <v>182</v>
      </c>
      <c r="C39" s="2" t="s">
        <v>77</v>
      </c>
      <c r="D39" s="2" t="s">
        <v>191</v>
      </c>
      <c r="E39" s="2" t="s">
        <v>192</v>
      </c>
      <c r="F39" s="2" t="s">
        <v>193</v>
      </c>
      <c r="G39" s="2" t="s">
        <v>35</v>
      </c>
      <c r="H39" s="2" t="s">
        <v>19</v>
      </c>
      <c r="I39" s="2" t="n">
        <v>3</v>
      </c>
      <c r="J39" s="2" t="s">
        <v>20</v>
      </c>
      <c r="K39" s="2" t="s">
        <v>148</v>
      </c>
      <c r="L39" s="2" t="s">
        <v>21</v>
      </c>
    </row>
    <row r="40" customFormat="false" ht="23.85" hidden="false" customHeight="false" outlineLevel="0" collapsed="false">
      <c r="A40" s="2" t="s">
        <v>194</v>
      </c>
      <c r="B40" s="2" t="s">
        <v>182</v>
      </c>
      <c r="C40" s="2" t="s">
        <v>77</v>
      </c>
      <c r="D40" s="2" t="s">
        <v>195</v>
      </c>
      <c r="E40" s="2" t="s">
        <v>196</v>
      </c>
      <c r="F40" s="2" t="s">
        <v>197</v>
      </c>
      <c r="G40" s="2" t="s">
        <v>18</v>
      </c>
      <c r="H40" s="2" t="s">
        <v>198</v>
      </c>
      <c r="I40" s="2" t="n">
        <v>4</v>
      </c>
      <c r="J40" s="2" t="s">
        <v>20</v>
      </c>
      <c r="K40" s="2" t="s">
        <v>186</v>
      </c>
      <c r="L40" s="2" t="s">
        <v>21</v>
      </c>
    </row>
    <row r="41" customFormat="false" ht="23.85" hidden="false" customHeight="false" outlineLevel="0" collapsed="false">
      <c r="A41" s="2" t="s">
        <v>143</v>
      </c>
      <c r="B41" s="2" t="s">
        <v>182</v>
      </c>
      <c r="C41" s="2" t="s">
        <v>77</v>
      </c>
      <c r="D41" s="2" t="s">
        <v>199</v>
      </c>
      <c r="E41" s="2" t="s">
        <v>200</v>
      </c>
      <c r="F41" s="2" t="s">
        <v>201</v>
      </c>
      <c r="G41" s="2" t="s">
        <v>18</v>
      </c>
      <c r="H41" s="2" t="s">
        <v>26</v>
      </c>
      <c r="I41" s="2" t="n">
        <v>3</v>
      </c>
      <c r="J41" s="2" t="s">
        <v>20</v>
      </c>
      <c r="K41" s="2" t="s">
        <v>202</v>
      </c>
      <c r="L41" s="2" t="s">
        <v>21</v>
      </c>
    </row>
    <row r="42" customFormat="false" ht="46.25" hidden="false" customHeight="false" outlineLevel="0" collapsed="false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208</v>
      </c>
      <c r="G42" s="2" t="s">
        <v>18</v>
      </c>
      <c r="H42" s="2" t="s">
        <v>209</v>
      </c>
      <c r="I42" s="2" t="n">
        <v>6</v>
      </c>
      <c r="J42" s="2" t="s">
        <v>20</v>
      </c>
      <c r="K42" s="2" t="s">
        <v>210</v>
      </c>
      <c r="L42" s="2" t="s">
        <v>21</v>
      </c>
    </row>
    <row r="43" customFormat="false" ht="23.85" hidden="false" customHeight="false" outlineLevel="0" collapsed="false">
      <c r="A43" s="2" t="s">
        <v>211</v>
      </c>
      <c r="B43" s="2" t="s">
        <v>204</v>
      </c>
      <c r="C43" s="2" t="s">
        <v>205</v>
      </c>
      <c r="D43" s="2" t="s">
        <v>212</v>
      </c>
      <c r="E43" s="2" t="s">
        <v>213</v>
      </c>
      <c r="F43" s="2" t="s">
        <v>214</v>
      </c>
      <c r="G43" s="2" t="s">
        <v>209</v>
      </c>
      <c r="H43" s="2" t="s">
        <v>19</v>
      </c>
      <c r="I43" s="2" t="n">
        <v>6</v>
      </c>
      <c r="J43" s="2" t="s">
        <v>20</v>
      </c>
      <c r="K43" s="2" t="s">
        <v>203</v>
      </c>
      <c r="L43" s="2" t="s">
        <v>21</v>
      </c>
    </row>
    <row r="44" customFormat="false" ht="23.85" hidden="false" customHeight="false" outlineLevel="0" collapsed="false">
      <c r="A44" s="2" t="s">
        <v>215</v>
      </c>
      <c r="B44" s="2" t="s">
        <v>204</v>
      </c>
      <c r="C44" s="2" t="s">
        <v>205</v>
      </c>
      <c r="D44" s="2" t="s">
        <v>216</v>
      </c>
      <c r="E44" s="2" t="s">
        <v>217</v>
      </c>
      <c r="F44" s="2" t="s">
        <v>218</v>
      </c>
      <c r="G44" s="2" t="s">
        <v>18</v>
      </c>
      <c r="H44" s="2" t="s">
        <v>19</v>
      </c>
      <c r="I44" s="2" t="n">
        <v>3</v>
      </c>
      <c r="J44" s="2" t="s">
        <v>20</v>
      </c>
      <c r="K44" s="2" t="s">
        <v>211</v>
      </c>
      <c r="L44" s="2" t="s">
        <v>21</v>
      </c>
    </row>
    <row r="45" customFormat="false" ht="23.85" hidden="false" customHeight="false" outlineLevel="0" collapsed="false">
      <c r="A45" s="2" t="s">
        <v>219</v>
      </c>
      <c r="B45" s="2" t="s">
        <v>204</v>
      </c>
      <c r="C45" s="2" t="s">
        <v>205</v>
      </c>
      <c r="D45" s="2" t="s">
        <v>220</v>
      </c>
      <c r="E45" s="2" t="s">
        <v>221</v>
      </c>
      <c r="F45" s="2" t="s">
        <v>222</v>
      </c>
      <c r="G45" s="2" t="s">
        <v>18</v>
      </c>
      <c r="H45" s="2" t="s">
        <v>26</v>
      </c>
      <c r="I45" s="2" t="n">
        <v>3</v>
      </c>
      <c r="J45" s="2" t="s">
        <v>20</v>
      </c>
      <c r="K45" s="2" t="s">
        <v>215</v>
      </c>
      <c r="L45" s="2" t="s">
        <v>21</v>
      </c>
    </row>
  </sheetData>
  <autoFilter ref="A1:L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20"/>
  </cols>
  <sheetData>
    <row r="1" customFormat="false" ht="15" hidden="false" customHeight="false" outlineLevel="0" collapsed="false">
      <c r="A1" s="3" t="s">
        <v>223</v>
      </c>
      <c r="B1" s="3" t="s">
        <v>224</v>
      </c>
      <c r="C1" s="3" t="s">
        <v>225</v>
      </c>
      <c r="D1" s="3" t="s">
        <v>226</v>
      </c>
      <c r="E1" s="3" t="s">
        <v>227</v>
      </c>
    </row>
    <row r="2" customFormat="false" ht="15" hidden="false" customHeight="false" outlineLevel="0" collapsed="false">
      <c r="A2" s="4" t="s">
        <v>18</v>
      </c>
      <c r="B2" s="4" t="s">
        <v>228</v>
      </c>
      <c r="C2" s="4" t="n">
        <f aca="false">SUMIFS(Backlog!$I$2:$I$45, Backlog!$G$2:$G$45, A2)</f>
        <v>32</v>
      </c>
      <c r="D2" s="4" t="n">
        <v>40</v>
      </c>
      <c r="E2" s="4" t="n">
        <f aca="false">D2-C2</f>
        <v>8</v>
      </c>
    </row>
    <row r="3" customFormat="false" ht="15" hidden="false" customHeight="false" outlineLevel="0" collapsed="false">
      <c r="A3" s="4" t="s">
        <v>26</v>
      </c>
      <c r="B3" s="4" t="s">
        <v>229</v>
      </c>
      <c r="C3" s="4" t="n">
        <f aca="false">SUMIFS(Backlog!$I$2:$I$45, Backlog!$G$2:$G$45, A3)</f>
        <v>42</v>
      </c>
      <c r="D3" s="4" t="n">
        <v>40</v>
      </c>
      <c r="E3" s="4" t="n">
        <f aca="false">D3-C3</f>
        <v>-2</v>
      </c>
    </row>
    <row r="4" customFormat="false" ht="15" hidden="false" customHeight="false" outlineLevel="0" collapsed="false">
      <c r="A4" s="4" t="s">
        <v>87</v>
      </c>
      <c r="B4" s="4" t="s">
        <v>230</v>
      </c>
      <c r="C4" s="4" t="n">
        <f aca="false">SUMIFS(Backlog!$I$2:$I$45, Backlog!$G$2:$G$45, A4)</f>
        <v>38</v>
      </c>
      <c r="D4" s="4" t="n">
        <v>40</v>
      </c>
      <c r="E4" s="4" t="n">
        <f aca="false">D4-C4</f>
        <v>2</v>
      </c>
    </row>
    <row r="5" customFormat="false" ht="15" hidden="false" customHeight="false" outlineLevel="0" collapsed="false">
      <c r="A5" s="4" t="s">
        <v>35</v>
      </c>
      <c r="B5" s="4" t="s">
        <v>231</v>
      </c>
      <c r="C5" s="4" t="n">
        <f aca="false">SUMIFS(Backlog!$I$2:$I$45, Backlog!$G$2:$G$45, A5)</f>
        <v>41</v>
      </c>
      <c r="D5" s="4" t="n">
        <v>40</v>
      </c>
      <c r="E5" s="4" t="n">
        <f aca="false">D5-C5</f>
        <v>-1</v>
      </c>
    </row>
    <row r="6" customFormat="false" ht="15" hidden="false" customHeight="false" outlineLevel="0" collapsed="false">
      <c r="A6" s="4" t="s">
        <v>41</v>
      </c>
      <c r="B6" s="4" t="s">
        <v>232</v>
      </c>
      <c r="C6" s="4" t="n">
        <f aca="false">SUMIFS(Backlog!$I$2:$I$45, Backlog!$G$2:$G$45, A6)</f>
        <v>34</v>
      </c>
      <c r="D6" s="4" t="n">
        <v>40</v>
      </c>
      <c r="E6" s="4" t="n">
        <f aca="false">D6-C6</f>
        <v>6</v>
      </c>
    </row>
    <row r="7" customFormat="false" ht="15" hidden="false" customHeight="false" outlineLevel="0" collapsed="false">
      <c r="A7" s="4" t="s">
        <v>40</v>
      </c>
      <c r="B7" s="4" t="s">
        <v>233</v>
      </c>
      <c r="C7" s="4" t="n">
        <f aca="false">SUMIFS(Backlog!$I$2:$I$45, Backlog!$G$2:$G$45, A7)</f>
        <v>25</v>
      </c>
      <c r="D7" s="4" t="n">
        <v>40</v>
      </c>
      <c r="E7" s="4" t="n">
        <f aca="false">D7-C7</f>
        <v>15</v>
      </c>
    </row>
    <row r="9" customFormat="false" ht="15" hidden="false" customHeight="false" outlineLevel="0" collapsed="false">
      <c r="A9" s="5" t="s">
        <v>234</v>
      </c>
    </row>
    <row r="10" customFormat="false" ht="15" hidden="false" customHeight="false" outlineLevel="0" collapsed="false">
      <c r="A10" s="5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236</v>
      </c>
      <c r="B1" s="3" t="s">
        <v>237</v>
      </c>
      <c r="C1" s="3" t="s">
        <v>238</v>
      </c>
      <c r="D1" s="3" t="s">
        <v>239</v>
      </c>
    </row>
    <row r="2" customFormat="false" ht="23.85" hidden="false" customHeight="false" outlineLevel="0" collapsed="false">
      <c r="A2" s="6" t="s">
        <v>240</v>
      </c>
      <c r="B2" s="6" t="s">
        <v>241</v>
      </c>
      <c r="C2" s="6" t="s">
        <v>242</v>
      </c>
      <c r="D2" s="6" t="s">
        <v>243</v>
      </c>
    </row>
    <row r="3" customFormat="false" ht="35.05" hidden="false" customHeight="false" outlineLevel="0" collapsed="false">
      <c r="A3" s="6" t="s">
        <v>244</v>
      </c>
      <c r="B3" s="6" t="s">
        <v>245</v>
      </c>
      <c r="C3" s="6" t="s">
        <v>246</v>
      </c>
      <c r="D3" s="6" t="s">
        <v>247</v>
      </c>
    </row>
    <row r="4" customFormat="false" ht="23.85" hidden="false" customHeight="false" outlineLevel="0" collapsed="false">
      <c r="A4" s="6" t="s">
        <v>248</v>
      </c>
      <c r="B4" s="6" t="s">
        <v>249</v>
      </c>
      <c r="C4" s="6" t="s">
        <v>250</v>
      </c>
      <c r="D4" s="6" t="s">
        <v>251</v>
      </c>
    </row>
    <row r="5" customFormat="false" ht="23.85" hidden="false" customHeight="false" outlineLevel="0" collapsed="false">
      <c r="A5" s="6" t="s">
        <v>252</v>
      </c>
      <c r="B5" s="6" t="s">
        <v>253</v>
      </c>
      <c r="C5" s="6" t="s">
        <v>254</v>
      </c>
      <c r="D5" s="6" t="s">
        <v>255</v>
      </c>
    </row>
    <row r="6" customFormat="false" ht="35.05" hidden="false" customHeight="false" outlineLevel="0" collapsed="false">
      <c r="A6" s="6" t="s">
        <v>256</v>
      </c>
      <c r="B6" s="6" t="s">
        <v>257</v>
      </c>
      <c r="C6" s="6" t="s">
        <v>258</v>
      </c>
      <c r="D6" s="6" t="s">
        <v>259</v>
      </c>
    </row>
    <row r="7" customFormat="false" ht="23.85" hidden="false" customHeight="false" outlineLevel="0" collapsed="false">
      <c r="A7" s="6" t="s">
        <v>260</v>
      </c>
      <c r="B7" s="6" t="s">
        <v>261</v>
      </c>
      <c r="C7" s="6" t="s">
        <v>262</v>
      </c>
      <c r="D7" s="6" t="s">
        <v>263</v>
      </c>
    </row>
    <row r="8" customFormat="false" ht="23.85" hidden="false" customHeight="false" outlineLevel="0" collapsed="false">
      <c r="A8" s="6" t="s">
        <v>264</v>
      </c>
      <c r="B8" s="6" t="s">
        <v>261</v>
      </c>
      <c r="C8" s="6" t="s">
        <v>262</v>
      </c>
      <c r="D8" s="6" t="s">
        <v>263</v>
      </c>
    </row>
    <row r="9" customFormat="false" ht="23.85" hidden="false" customHeight="false" outlineLevel="0" collapsed="false">
      <c r="A9" s="6" t="s">
        <v>265</v>
      </c>
      <c r="B9" s="6" t="s">
        <v>261</v>
      </c>
      <c r="C9" s="6" t="s">
        <v>262</v>
      </c>
      <c r="D9" s="6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2026-08-28T12:37:34Z</dcterms:created>
  <dc:creator>openpyxl</dc:creator>
  <dc:description/>
  <dc:language>en-US</dc:language>
  <cp:lastModifiedBy/>
  <dcterms:modified xsi:type="dcterms:W3CDTF">2026-08-28T12:37:34Z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